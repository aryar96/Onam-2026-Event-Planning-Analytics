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am 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Activitie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Participants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Calendar" sheetId="7" state="visible" r:id="rId7"/>
    <sheet xmlns:r="http://schemas.openxmlformats.org/officeDocument/2006/relationships" name="Budget Tracker" sheetId="8" state="visible" r:id="rId8"/>
  </sheets>
  <definedNames>
    <definedName name="_xlnm._FilterDatabase" localSheetId="2" hidden="1">'Activities'!$A$1:$P$13</definedName>
    <definedName name="_xlnm._FilterDatabase" localSheetId="3" hidden="1">'Budget'!$A$1:$C$7</definedName>
    <definedName name="_xlnm._FilterDatabase" localSheetId="4" hidden="1">'Participants'!$A$1:$F$16</definedName>
    <definedName name="_xlnm._FilterDatabase" localSheetId="5" hidden="1">'Locations'!$A$1:$B$8</definedName>
    <definedName name="_xlnm._FilterDatabase" localSheetId="6" hidden="1">'Calendar'!$A$1:$G$32</definedName>
    <definedName name="_xlnm._FilterDatabase" localSheetId="7" hidden="1">'Budget Tracker'!$A$1:$F$7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₹#,##0"/>
    <numFmt numFmtId="166" formatCode="0.0%"/>
    <numFmt numFmtId="167" formatCode="0&quot;%&quot;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6" t="inlineStr">
        <is>
          <t>ONAM 2026 – PLANNING SUMMARY</t>
        </is>
      </c>
    </row>
    <row r="2">
      <c r="A2" t="inlineStr">
        <is>
          <t>Note</t>
        </is>
      </c>
      <c r="B2" t="inlineStr">
        <is>
          <t>All figures are simulated planning data for a portfolio/learning project, not actual event results.</t>
        </is>
      </c>
    </row>
    <row r="3">
      <c r="A3" t="inlineStr">
        <is>
          <t>Onam Date</t>
        </is>
      </c>
      <c r="B3" s="7" t="n">
        <v>46260</v>
      </c>
    </row>
    <row r="4">
      <c r="A4" t="inlineStr">
        <is>
          <t>Total Activities</t>
        </is>
      </c>
      <c r="B4">
        <f>COUNTA(Activities!B2:B13)</f>
        <v/>
      </c>
    </row>
    <row r="5">
      <c r="A5" t="inlineStr">
        <is>
          <t>Expected Participants</t>
        </is>
      </c>
      <c r="B5">
        <f>SUM(Activities!F2:F13)</f>
        <v/>
      </c>
    </row>
    <row r="6">
      <c r="A6" t="inlineStr">
        <is>
          <t>Estimated Budget</t>
        </is>
      </c>
      <c r="B6" s="8">
        <f>SUM(Activities!G2:G13)</f>
        <v/>
      </c>
    </row>
    <row r="7">
      <c r="A7" t="inlineStr">
        <is>
          <t>Budget Spent</t>
        </is>
      </c>
      <c r="B7" s="8">
        <f>SUM(Activities!I2:I13)</f>
        <v/>
      </c>
    </row>
    <row r="8">
      <c r="A8" t="inlineStr">
        <is>
          <t>Remaining Budget</t>
        </is>
      </c>
      <c r="B8" s="8">
        <f>B6-B7</f>
        <v/>
      </c>
    </row>
    <row r="9">
      <c r="A9" t="inlineStr">
        <is>
          <t>Budget Utilization %</t>
        </is>
      </c>
      <c r="B9" s="9">
        <f>IFERROR(B7/B6,0)</f>
        <v/>
      </c>
    </row>
    <row r="10">
      <c r="A10" t="inlineStr">
        <is>
          <t>Completed Activities</t>
        </is>
      </c>
      <c r="B10">
        <f>COUNTIF(Activities!H2:H13,"Completed")</f>
        <v/>
      </c>
    </row>
    <row r="11">
      <c r="A11" t="inlineStr">
        <is>
          <t>In Progress Activities</t>
        </is>
      </c>
      <c r="B11">
        <f>COUNTIF(Activities!H2:H13,"In Progress")</f>
        <v/>
      </c>
    </row>
    <row r="12">
      <c r="A12" t="inlineStr">
        <is>
          <t>Not Started Activities</t>
        </is>
      </c>
      <c r="B12">
        <f>COUNTIF(Activities!H2:H13,"Not Started")</f>
        <v/>
      </c>
    </row>
    <row r="13">
      <c r="A13" t="inlineStr">
        <is>
          <t>Average Preparation Progress %</t>
        </is>
      </c>
      <c r="B13" s="9">
        <f>AVERAGE(Activities!P2:P13)/100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ONAM 2026 – POWER BI DATASET</t>
        </is>
      </c>
    </row>
    <row r="2">
      <c r="A2" t="inlineStr">
        <is>
          <t>Purpose</t>
        </is>
      </c>
      <c r="B2" t="inlineStr">
        <is>
          <t>Sample planning data for an Onam 2026 Preparation &amp; Celebration Dashboard.</t>
        </is>
      </c>
    </row>
    <row r="3">
      <c r="A3" t="inlineStr">
        <is>
          <t>Important</t>
        </is>
      </c>
      <c r="B3" t="inlineStr">
        <is>
          <t>This is simulated/sample data created for a learning portfolio. It does not represent actual event statistics.</t>
        </is>
      </c>
    </row>
    <row r="4">
      <c r="A4" t="inlineStr">
        <is>
          <t>Suggested Power BI relationships</t>
        </is>
      </c>
    </row>
    <row r="5">
      <c r="A5" t="inlineStr">
        <is>
          <t>Activities[Date]</t>
        </is>
      </c>
      <c r="B5" t="inlineStr">
        <is>
          <t>→ Calendar[Date]</t>
        </is>
      </c>
    </row>
    <row r="6">
      <c r="A6" t="inlineStr">
        <is>
          <t>Activities[ActivityID]</t>
        </is>
      </c>
      <c r="B6" t="inlineStr">
        <is>
          <t>→ Participants[EventPreference] cannot be directly related; use Activity as a common dimension or create an Event dimension.</t>
        </is>
      </c>
    </row>
    <row r="7">
      <c r="A7" t="inlineStr">
        <is>
          <t>Recommended KPIs</t>
        </is>
      </c>
      <c r="B7" t="inlineStr">
        <is>
          <t>Total Activities, Expected Participants, Estimated Budget, Completed Activities, Locations</t>
        </is>
      </c>
    </row>
    <row r="8">
      <c r="A8" t="inlineStr">
        <is>
          <t>Recommended visuals</t>
        </is>
      </c>
      <c r="B8" t="inlineStr">
        <is>
          <t>Timeline, Budget by Category, Preparation Status, Estimated Cost by Activity, Expected Participants by Activity, Events by Location</t>
        </is>
      </c>
    </row>
    <row r="9">
      <c r="A9" t="inlineStr">
        <is>
          <t>Onam date used</t>
        </is>
      </c>
      <c r="B9" t="inlineStr">
        <is>
          <t>26-Aug-2026 (Thiruvonam)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21" customWidth="1" min="4" max="4"/>
    <col width="17" customWidth="1" min="5" max="5"/>
    <col width="22" customWidth="1" min="6" max="6"/>
    <col width="15" customWidth="1" min="7" max="7"/>
    <col width="19" customWidth="1" min="8" max="8"/>
  </cols>
  <sheetData>
    <row r="1">
      <c r="A1" s="3" t="inlineStr">
        <is>
          <t>ActivityID</t>
        </is>
      </c>
      <c r="B1" s="3" t="inlineStr">
        <is>
          <t>Activity</t>
        </is>
      </c>
      <c r="C1" s="3" t="inlineStr">
        <is>
          <t>Category</t>
        </is>
      </c>
      <c r="D1" s="3" t="inlineStr">
        <is>
          <t>Date</t>
        </is>
      </c>
      <c r="E1" s="3" t="inlineStr">
        <is>
          <t>Location</t>
        </is>
      </c>
      <c r="F1" s="3" t="inlineStr">
        <is>
          <t>ExpectedParticipants</t>
        </is>
      </c>
      <c r="G1" s="3" t="inlineStr">
        <is>
          <t>EstimatedCost</t>
        </is>
      </c>
      <c r="H1" s="3" t="inlineStr">
        <is>
          <t>PreparationStatus</t>
        </is>
      </c>
      <c r="I1" s="3" t="inlineStr">
        <is>
          <t>ActualCost</t>
        </is>
      </c>
      <c r="J1" s="3" t="inlineStr">
        <is>
          <t>BudgetStatus</t>
        </is>
      </c>
      <c r="K1" s="3" t="inlineStr">
        <is>
          <t>BudgetVariance</t>
        </is>
      </c>
      <c r="L1" s="3" t="inlineStr">
        <is>
          <t>BudgetUtilizationPct</t>
        </is>
      </c>
      <c r="M1" s="3" t="inlineStr">
        <is>
          <t>DaysBeforeOnam</t>
        </is>
      </c>
      <c r="N1" s="3" t="inlineStr">
        <is>
          <t>Priority</t>
        </is>
      </c>
      <c r="O1" s="3" t="inlineStr">
        <is>
          <t>ResponsibleTeam</t>
        </is>
      </c>
      <c r="P1" s="3" t="inlineStr">
        <is>
          <t>PreparationProgressPct</t>
        </is>
      </c>
    </row>
    <row r="2">
      <c r="A2" t="n">
        <v>1</v>
      </c>
      <c r="B2" t="inlineStr">
        <is>
          <t>Pookalam</t>
        </is>
      </c>
      <c r="C2" t="inlineStr">
        <is>
          <t>Cultural</t>
        </is>
      </c>
      <c r="D2" s="7" t="n">
        <v>46251</v>
      </c>
      <c r="E2" t="inlineStr">
        <is>
          <t>Main Hall</t>
        </is>
      </c>
      <c r="F2" t="n">
        <v>80</v>
      </c>
      <c r="G2" s="8" t="n">
        <v>5000</v>
      </c>
      <c r="H2" t="inlineStr">
        <is>
          <t>Completed</t>
        </is>
      </c>
      <c r="I2" s="8" t="n">
        <v>4500</v>
      </c>
      <c r="J2" t="inlineStr">
        <is>
          <t>Near Budget</t>
        </is>
      </c>
      <c r="K2" s="8" t="n">
        <v>500</v>
      </c>
      <c r="L2" s="9" t="n">
        <v>0.9</v>
      </c>
      <c r="M2" t="n">
        <v>9</v>
      </c>
      <c r="N2" t="inlineStr">
        <is>
          <t>High</t>
        </is>
      </c>
      <c r="O2" t="inlineStr">
        <is>
          <t>Cultural Committee</t>
        </is>
      </c>
      <c r="P2" s="10" t="n">
        <v>100</v>
      </c>
    </row>
    <row r="3">
      <c r="A3" t="n">
        <v>2</v>
      </c>
      <c r="B3" t="inlineStr">
        <is>
          <t>Onam Games</t>
        </is>
      </c>
      <c r="C3" t="inlineStr">
        <is>
          <t>Games &amp; Sports</t>
        </is>
      </c>
      <c r="D3" s="7" t="n">
        <v>46252</v>
      </c>
      <c r="E3" t="inlineStr">
        <is>
          <t>Ground</t>
        </is>
      </c>
      <c r="F3" t="n">
        <v>100</v>
      </c>
      <c r="G3" s="8" t="n">
        <v>8000</v>
      </c>
      <c r="H3" t="inlineStr">
        <is>
          <t>Completed</t>
        </is>
      </c>
      <c r="I3" s="8" t="n">
        <v>7500</v>
      </c>
      <c r="J3" t="inlineStr">
        <is>
          <t>Near Budget</t>
        </is>
      </c>
      <c r="K3" s="8" t="n">
        <v>500</v>
      </c>
      <c r="L3" s="9" t="n">
        <v>0.9375</v>
      </c>
      <c r="M3" t="n">
        <v>8</v>
      </c>
      <c r="N3" t="inlineStr">
        <is>
          <t>Medium</t>
        </is>
      </c>
      <c r="O3" t="inlineStr">
        <is>
          <t>Games Committee</t>
        </is>
      </c>
      <c r="P3" s="10" t="n">
        <v>100</v>
      </c>
    </row>
    <row r="4">
      <c r="A4" t="n">
        <v>3</v>
      </c>
      <c r="B4" t="inlineStr">
        <is>
          <t>Thiruvathira</t>
        </is>
      </c>
      <c r="C4" t="inlineStr">
        <is>
          <t>Cultural</t>
        </is>
      </c>
      <c r="D4" s="7" t="n">
        <v>46254</v>
      </c>
      <c r="E4" t="inlineStr">
        <is>
          <t>Auditorium</t>
        </is>
      </c>
      <c r="F4" t="n">
        <v>60</v>
      </c>
      <c r="G4" s="8" t="n">
        <v>10000</v>
      </c>
      <c r="H4" t="inlineStr">
        <is>
          <t>In Progress</t>
        </is>
      </c>
      <c r="I4" s="8" t="n">
        <v>6000</v>
      </c>
      <c r="J4" t="inlineStr">
        <is>
          <t>Within Budget</t>
        </is>
      </c>
      <c r="K4" s="8" t="n">
        <v>4000</v>
      </c>
      <c r="L4" s="9" t="n">
        <v>0.6</v>
      </c>
      <c r="M4" t="n">
        <v>6</v>
      </c>
      <c r="N4" t="inlineStr">
        <is>
          <t>Medium</t>
        </is>
      </c>
      <c r="O4" t="inlineStr">
        <is>
          <t>Cultural Committee</t>
        </is>
      </c>
      <c r="P4" s="10" t="n">
        <v>50</v>
      </c>
    </row>
    <row r="5">
      <c r="A5" t="n">
        <v>4</v>
      </c>
      <c r="B5" t="inlineStr">
        <is>
          <t>Sadya</t>
        </is>
      </c>
      <c r="C5" t="inlineStr">
        <is>
          <t>Food &amp; Sadya</t>
        </is>
      </c>
      <c r="D5" s="7" t="n">
        <v>46256</v>
      </c>
      <c r="E5" t="inlineStr">
        <is>
          <t>Dining Hall</t>
        </is>
      </c>
      <c r="F5" t="n">
        <v>150</v>
      </c>
      <c r="G5" s="8" t="n">
        <v>25000</v>
      </c>
      <c r="H5" t="inlineStr">
        <is>
          <t>In Progress</t>
        </is>
      </c>
      <c r="I5" s="8" t="n">
        <v>12000</v>
      </c>
      <c r="J5" t="inlineStr">
        <is>
          <t>Within Budget</t>
        </is>
      </c>
      <c r="K5" s="8" t="n">
        <v>13000</v>
      </c>
      <c r="L5" s="9" t="n">
        <v>0.48</v>
      </c>
      <c r="M5" t="n">
        <v>4</v>
      </c>
      <c r="N5" t="inlineStr">
        <is>
          <t>High</t>
        </is>
      </c>
      <c r="O5" t="inlineStr">
        <is>
          <t>Food Committee</t>
        </is>
      </c>
      <c r="P5" s="10" t="n">
        <v>50</v>
      </c>
    </row>
    <row r="6">
      <c r="A6" t="n">
        <v>5</v>
      </c>
      <c r="B6" t="inlineStr">
        <is>
          <t>Cultural Program</t>
        </is>
      </c>
      <c r="C6" t="inlineStr">
        <is>
          <t>Cultural</t>
        </is>
      </c>
      <c r="D6" s="7" t="n">
        <v>46258</v>
      </c>
      <c r="E6" t="inlineStr">
        <is>
          <t>Auditorium</t>
        </is>
      </c>
      <c r="F6" t="n">
        <v>120</v>
      </c>
      <c r="G6" s="8" t="n">
        <v>15000</v>
      </c>
      <c r="H6" t="inlineStr">
        <is>
          <t>In Progress</t>
        </is>
      </c>
      <c r="I6" s="8" t="n">
        <v>3000</v>
      </c>
      <c r="J6" t="inlineStr">
        <is>
          <t>Within Budget</t>
        </is>
      </c>
      <c r="K6" s="8" t="n">
        <v>12000</v>
      </c>
      <c r="L6" s="9" t="n">
        <v>0.2</v>
      </c>
      <c r="M6" t="n">
        <v>2</v>
      </c>
      <c r="N6" t="inlineStr">
        <is>
          <t>High</t>
        </is>
      </c>
      <c r="O6" t="inlineStr">
        <is>
          <t>Cultural Committee</t>
        </is>
      </c>
      <c r="P6" s="10" t="n">
        <v>50</v>
      </c>
    </row>
    <row r="7">
      <c r="A7" t="n">
        <v>6</v>
      </c>
      <c r="B7" t="inlineStr">
        <is>
          <t>Thiruvonam Celebration</t>
        </is>
      </c>
      <c r="C7" t="inlineStr">
        <is>
          <t>Cultural</t>
        </is>
      </c>
      <c r="D7" s="7" t="n">
        <v>46260</v>
      </c>
      <c r="E7" t="inlineStr">
        <is>
          <t>Main Hall</t>
        </is>
      </c>
      <c r="F7" t="n">
        <v>250</v>
      </c>
      <c r="G7" s="8" t="n">
        <v>35000</v>
      </c>
      <c r="H7" t="inlineStr">
        <is>
          <t>Not Started</t>
        </is>
      </c>
      <c r="I7" s="8" t="n">
        <v>0</v>
      </c>
      <c r="J7" t="inlineStr">
        <is>
          <t>Not Spent</t>
        </is>
      </c>
      <c r="K7" s="8" t="n">
        <v>35000</v>
      </c>
      <c r="L7" s="9" t="n">
        <v>0</v>
      </c>
      <c r="M7" t="n">
        <v>0</v>
      </c>
      <c r="N7" t="inlineStr">
        <is>
          <t>High</t>
        </is>
      </c>
      <c r="O7" t="inlineStr">
        <is>
          <t>Cultural Committee</t>
        </is>
      </c>
      <c r="P7" s="10" t="n">
        <v>0</v>
      </c>
    </row>
    <row r="8">
      <c r="A8" t="n">
        <v>7</v>
      </c>
      <c r="B8" t="inlineStr">
        <is>
          <t>Music Program</t>
        </is>
      </c>
      <c r="C8" t="inlineStr">
        <is>
          <t>Entertainment</t>
        </is>
      </c>
      <c r="D8" s="7" t="n">
        <v>46255</v>
      </c>
      <c r="E8" t="inlineStr">
        <is>
          <t>Open Stage</t>
        </is>
      </c>
      <c r="F8" t="n">
        <v>100</v>
      </c>
      <c r="G8" s="8" t="n">
        <v>7000</v>
      </c>
      <c r="H8" t="inlineStr">
        <is>
          <t>Not Started</t>
        </is>
      </c>
      <c r="I8" s="8" t="n">
        <v>1500</v>
      </c>
      <c r="J8" t="inlineStr">
        <is>
          <t>Within Budget</t>
        </is>
      </c>
      <c r="K8" s="8" t="n">
        <v>5500</v>
      </c>
      <c r="L8" s="9" t="n">
        <v>0.2142857142857143</v>
      </c>
      <c r="M8" t="n">
        <v>5</v>
      </c>
      <c r="N8" t="inlineStr">
        <is>
          <t>Medium</t>
        </is>
      </c>
      <c r="O8" t="inlineStr">
        <is>
          <t>Entertainment Team</t>
        </is>
      </c>
      <c r="P8" s="10" t="n">
        <v>0</v>
      </c>
    </row>
    <row r="9">
      <c r="A9" t="n">
        <v>8</v>
      </c>
      <c r="B9" t="inlineStr">
        <is>
          <t>Flower Arrangement</t>
        </is>
      </c>
      <c r="C9" t="inlineStr">
        <is>
          <t>Decoration</t>
        </is>
      </c>
      <c r="D9" s="7" t="n">
        <v>46253</v>
      </c>
      <c r="E9" t="inlineStr">
        <is>
          <t>Main Hall</t>
        </is>
      </c>
      <c r="F9" t="n">
        <v>50</v>
      </c>
      <c r="G9" s="8" t="n">
        <v>5000</v>
      </c>
      <c r="H9" t="inlineStr">
        <is>
          <t>Completed</t>
        </is>
      </c>
      <c r="I9" s="8" t="n">
        <v>4800</v>
      </c>
      <c r="J9" t="inlineStr">
        <is>
          <t>Near Budget</t>
        </is>
      </c>
      <c r="K9" s="8" t="n">
        <v>200</v>
      </c>
      <c r="L9" s="9" t="n">
        <v>0.96</v>
      </c>
      <c r="M9" t="n">
        <v>7</v>
      </c>
      <c r="N9" t="inlineStr">
        <is>
          <t>Medium</t>
        </is>
      </c>
      <c r="O9" t="inlineStr">
        <is>
          <t>Decoration Team</t>
        </is>
      </c>
      <c r="P9" s="10" t="n">
        <v>100</v>
      </c>
    </row>
    <row r="10">
      <c r="A10" t="n">
        <v>9</v>
      </c>
      <c r="B10" t="inlineStr">
        <is>
          <t>Traditional Dress Contest</t>
        </is>
      </c>
      <c r="C10" t="inlineStr">
        <is>
          <t>Games &amp; Sports</t>
        </is>
      </c>
      <c r="D10" s="7" t="n">
        <v>46257</v>
      </c>
      <c r="E10" t="inlineStr">
        <is>
          <t>Auditorium</t>
        </is>
      </c>
      <c r="F10" t="n">
        <v>50</v>
      </c>
      <c r="G10" s="8" t="n">
        <v>3000</v>
      </c>
      <c r="H10" t="inlineStr">
        <is>
          <t>In Progress</t>
        </is>
      </c>
      <c r="I10" s="8" t="n">
        <v>2500</v>
      </c>
      <c r="J10" t="inlineStr">
        <is>
          <t>Near Budget</t>
        </is>
      </c>
      <c r="K10" s="8" t="n">
        <v>500</v>
      </c>
      <c r="L10" s="9" t="n">
        <v>0.8333333333333334</v>
      </c>
      <c r="M10" t="n">
        <v>3</v>
      </c>
      <c r="N10" t="inlineStr">
        <is>
          <t>Low</t>
        </is>
      </c>
      <c r="O10" t="inlineStr">
        <is>
          <t>Games Committee</t>
        </is>
      </c>
      <c r="P10" s="10" t="n">
        <v>50</v>
      </c>
    </row>
    <row r="11">
      <c r="A11" t="n">
        <v>10</v>
      </c>
      <c r="B11" t="inlineStr">
        <is>
          <t>Quiz Competition</t>
        </is>
      </c>
      <c r="C11" t="inlineStr">
        <is>
          <t>Games &amp; Sports</t>
        </is>
      </c>
      <c r="D11" s="7" t="n">
        <v>46257</v>
      </c>
      <c r="E11" t="inlineStr">
        <is>
          <t>Classroom Block</t>
        </is>
      </c>
      <c r="F11" t="n">
        <v>30</v>
      </c>
      <c r="G11" s="8" t="n">
        <v>2000</v>
      </c>
      <c r="H11" t="inlineStr">
        <is>
          <t>Not Started</t>
        </is>
      </c>
      <c r="I11" s="8" t="n">
        <v>0</v>
      </c>
      <c r="J11" t="inlineStr">
        <is>
          <t>Not Spent</t>
        </is>
      </c>
      <c r="K11" s="8" t="n">
        <v>2000</v>
      </c>
      <c r="L11" s="9" t="n">
        <v>0</v>
      </c>
      <c r="M11" t="n">
        <v>3</v>
      </c>
      <c r="N11" t="inlineStr">
        <is>
          <t>Low</t>
        </is>
      </c>
      <c r="O11" t="inlineStr">
        <is>
          <t>Games Committee</t>
        </is>
      </c>
      <c r="P11" s="10" t="n">
        <v>0</v>
      </c>
    </row>
    <row r="12">
      <c r="A12" t="n">
        <v>11</v>
      </c>
      <c r="B12" t="inlineStr">
        <is>
          <t>Best Pookalam Contest</t>
        </is>
      </c>
      <c r="C12" t="inlineStr">
        <is>
          <t>Cultural</t>
        </is>
      </c>
      <c r="D12" s="7" t="n">
        <v>46259</v>
      </c>
      <c r="E12" t="inlineStr">
        <is>
          <t>Open Stage</t>
        </is>
      </c>
      <c r="F12" t="n">
        <v>40</v>
      </c>
      <c r="G12" s="8" t="n">
        <v>3000</v>
      </c>
      <c r="H12" t="inlineStr">
        <is>
          <t>In Progress</t>
        </is>
      </c>
      <c r="I12" s="8" t="n">
        <v>1000</v>
      </c>
      <c r="J12" t="inlineStr">
        <is>
          <t>Within Budget</t>
        </is>
      </c>
      <c r="K12" s="8" t="n">
        <v>2000</v>
      </c>
      <c r="L12" s="9" t="n">
        <v>0.3333333333333333</v>
      </c>
      <c r="M12" t="n">
        <v>1</v>
      </c>
      <c r="N12" t="inlineStr">
        <is>
          <t>Medium</t>
        </is>
      </c>
      <c r="O12" t="inlineStr">
        <is>
          <t>Cultural Committee</t>
        </is>
      </c>
      <c r="P12" s="10" t="n">
        <v>50</v>
      </c>
    </row>
    <row r="13">
      <c r="A13" t="n">
        <v>12</v>
      </c>
      <c r="B13" t="inlineStr">
        <is>
          <t>Prize Distribution</t>
        </is>
      </c>
      <c r="C13" t="inlineStr">
        <is>
          <t>Prizes &amp; Gifts</t>
        </is>
      </c>
      <c r="D13" s="7" t="n">
        <v>46260</v>
      </c>
      <c r="E13" t="inlineStr">
        <is>
          <t>Main Hall</t>
        </is>
      </c>
      <c r="F13" t="n">
        <v>100</v>
      </c>
      <c r="G13" s="8" t="n">
        <v>2000</v>
      </c>
      <c r="H13" t="inlineStr">
        <is>
          <t>Not Started</t>
        </is>
      </c>
      <c r="I13" s="8" t="n">
        <v>0</v>
      </c>
      <c r="J13" t="inlineStr">
        <is>
          <t>Not Spent</t>
        </is>
      </c>
      <c r="K13" s="8" t="n">
        <v>2000</v>
      </c>
      <c r="L13" s="9" t="n">
        <v>0</v>
      </c>
      <c r="M13" t="n">
        <v>0</v>
      </c>
      <c r="N13" t="inlineStr">
        <is>
          <t>High</t>
        </is>
      </c>
      <c r="O13" t="inlineStr">
        <is>
          <t>Event Committee</t>
        </is>
      </c>
      <c r="P13" s="10" t="n">
        <v>0</v>
      </c>
    </row>
  </sheetData>
  <autoFilter ref="A1:P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</cols>
  <sheetData>
    <row r="1">
      <c r="A1" s="3" t="inlineStr">
        <is>
          <t>Category</t>
        </is>
      </c>
      <c r="B1" s="3" t="inlineStr">
        <is>
          <t>EstimatedBudget</t>
        </is>
      </c>
      <c r="C1" s="3" t="inlineStr">
        <is>
          <t>Status</t>
        </is>
      </c>
    </row>
    <row r="2">
      <c r="A2" t="inlineStr">
        <is>
          <t>Food &amp; Sadya</t>
        </is>
      </c>
      <c r="B2" s="8" t="n">
        <v>45000</v>
      </c>
      <c r="C2" t="inlineStr">
        <is>
          <t>Planned</t>
        </is>
      </c>
    </row>
    <row r="3">
      <c r="A3" t="inlineStr">
        <is>
          <t>Decoration</t>
        </is>
      </c>
      <c r="B3" s="8" t="n">
        <v>20000</v>
      </c>
      <c r="C3" t="inlineStr">
        <is>
          <t>Planned</t>
        </is>
      </c>
    </row>
    <row r="4">
      <c r="A4" t="inlineStr">
        <is>
          <t>Cultural Programs</t>
        </is>
      </c>
      <c r="B4" s="8" t="n">
        <v>25000</v>
      </c>
      <c r="C4" t="inlineStr">
        <is>
          <t>Planned</t>
        </is>
      </c>
    </row>
    <row r="5">
      <c r="A5" t="inlineStr">
        <is>
          <t>Games &amp; Sports</t>
        </is>
      </c>
      <c r="B5" s="8" t="n">
        <v>15000</v>
      </c>
      <c r="C5" t="inlineStr">
        <is>
          <t>Planned</t>
        </is>
      </c>
    </row>
    <row r="6">
      <c r="A6" t="inlineStr">
        <is>
          <t>Prizes &amp; Gifts</t>
        </is>
      </c>
      <c r="B6" s="8" t="n">
        <v>10000</v>
      </c>
      <c r="C6" t="inlineStr">
        <is>
          <t>Planned</t>
        </is>
      </c>
    </row>
    <row r="7">
      <c r="A7" t="inlineStr">
        <is>
          <t>Others</t>
        </is>
      </c>
      <c r="B7" s="8" t="n">
        <v>10000</v>
      </c>
      <c r="C7" t="inlineStr">
        <is>
          <t>Planned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2" customWidth="1" min="5" max="5"/>
    <col width="27" customWidth="1" min="6" max="6"/>
  </cols>
  <sheetData>
    <row r="1">
      <c r="A1" s="3" t="inlineStr">
        <is>
          <t>ParticipantID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Age</t>
        </is>
      </c>
      <c r="E1" s="3" t="inlineStr">
        <is>
          <t>Gender</t>
        </is>
      </c>
      <c r="F1" s="3" t="inlineStr">
        <is>
          <t>EventPreference</t>
        </is>
      </c>
    </row>
    <row r="2">
      <c r="A2" t="n">
        <v>1001</v>
      </c>
      <c r="B2" t="inlineStr">
        <is>
          <t>Aarav</t>
        </is>
      </c>
      <c r="C2" t="inlineStr">
        <is>
          <t>Data Analytics</t>
        </is>
      </c>
      <c r="D2" t="n">
        <v>24</v>
      </c>
      <c r="E2" t="inlineStr">
        <is>
          <t>Male</t>
        </is>
      </c>
      <c r="F2" t="inlineStr">
        <is>
          <t>Pookalam</t>
        </is>
      </c>
    </row>
    <row r="3">
      <c r="A3" t="n">
        <v>1002</v>
      </c>
      <c r="B3" t="inlineStr">
        <is>
          <t>Ananya</t>
        </is>
      </c>
      <c r="C3" t="inlineStr">
        <is>
          <t>Data Analytics</t>
        </is>
      </c>
      <c r="D3" t="n">
        <v>27</v>
      </c>
      <c r="E3" t="inlineStr">
        <is>
          <t>Female</t>
        </is>
      </c>
      <c r="F3" t="inlineStr">
        <is>
          <t>Thiruvathira</t>
        </is>
      </c>
    </row>
    <row r="4">
      <c r="A4" t="n">
        <v>1003</v>
      </c>
      <c r="B4" t="inlineStr">
        <is>
          <t>Rahul</t>
        </is>
      </c>
      <c r="C4" t="inlineStr">
        <is>
          <t>Python</t>
        </is>
      </c>
      <c r="D4" t="n">
        <v>25</v>
      </c>
      <c r="E4" t="inlineStr">
        <is>
          <t>Male</t>
        </is>
      </c>
      <c r="F4" t="inlineStr">
        <is>
          <t>Onam Games</t>
        </is>
      </c>
    </row>
    <row r="5">
      <c r="A5" t="n">
        <v>1004</v>
      </c>
      <c r="B5" t="inlineStr">
        <is>
          <t>Meera</t>
        </is>
      </c>
      <c r="C5" t="inlineStr">
        <is>
          <t>Power BI</t>
        </is>
      </c>
      <c r="D5" t="n">
        <v>29</v>
      </c>
      <c r="E5" t="inlineStr">
        <is>
          <t>Female</t>
        </is>
      </c>
      <c r="F5" t="inlineStr">
        <is>
          <t>Cultural Program</t>
        </is>
      </c>
    </row>
    <row r="6">
      <c r="A6" t="n">
        <v>1005</v>
      </c>
      <c r="B6" t="inlineStr">
        <is>
          <t>Arjun</t>
        </is>
      </c>
      <c r="C6" t="inlineStr">
        <is>
          <t>SQL</t>
        </is>
      </c>
      <c r="D6" t="n">
        <v>26</v>
      </c>
      <c r="E6" t="inlineStr">
        <is>
          <t>Male</t>
        </is>
      </c>
      <c r="F6" t="inlineStr">
        <is>
          <t>Onam Games</t>
        </is>
      </c>
    </row>
    <row r="7">
      <c r="A7" t="n">
        <v>1006</v>
      </c>
      <c r="B7" t="inlineStr">
        <is>
          <t>Diya</t>
        </is>
      </c>
      <c r="C7" t="inlineStr">
        <is>
          <t>Excel</t>
        </is>
      </c>
      <c r="D7" t="n">
        <v>23</v>
      </c>
      <c r="E7" t="inlineStr">
        <is>
          <t>Female</t>
        </is>
      </c>
      <c r="F7" t="inlineStr">
        <is>
          <t>Pookalam</t>
        </is>
      </c>
    </row>
    <row r="8">
      <c r="A8" t="n">
        <v>1007</v>
      </c>
      <c r="B8" t="inlineStr">
        <is>
          <t>Vishnu</t>
        </is>
      </c>
      <c r="C8" t="inlineStr">
        <is>
          <t>Data Analytics</t>
        </is>
      </c>
      <c r="D8" t="n">
        <v>31</v>
      </c>
      <c r="E8" t="inlineStr">
        <is>
          <t>Male</t>
        </is>
      </c>
      <c r="F8" t="inlineStr">
        <is>
          <t>Sadya</t>
        </is>
      </c>
    </row>
    <row r="9">
      <c r="A9" t="n">
        <v>1008</v>
      </c>
      <c r="B9" t="inlineStr">
        <is>
          <t>Anjali</t>
        </is>
      </c>
      <c r="C9" t="inlineStr">
        <is>
          <t>Power BI</t>
        </is>
      </c>
      <c r="D9" t="n">
        <v>28</v>
      </c>
      <c r="E9" t="inlineStr">
        <is>
          <t>Female</t>
        </is>
      </c>
      <c r="F9" t="inlineStr">
        <is>
          <t>Thiruvathira</t>
        </is>
      </c>
    </row>
    <row r="10">
      <c r="A10" t="n">
        <v>1009</v>
      </c>
      <c r="B10" t="inlineStr">
        <is>
          <t>Nikhil</t>
        </is>
      </c>
      <c r="C10" t="inlineStr">
        <is>
          <t>SQL</t>
        </is>
      </c>
      <c r="D10" t="n">
        <v>30</v>
      </c>
      <c r="E10" t="inlineStr">
        <is>
          <t>Male</t>
        </is>
      </c>
      <c r="F10" t="inlineStr">
        <is>
          <t>Quiz Competition</t>
        </is>
      </c>
    </row>
    <row r="11">
      <c r="A11" t="n">
        <v>1010</v>
      </c>
      <c r="B11" t="inlineStr">
        <is>
          <t>Devika</t>
        </is>
      </c>
      <c r="C11" t="inlineStr">
        <is>
          <t>Python</t>
        </is>
      </c>
      <c r="D11" t="n">
        <v>26</v>
      </c>
      <c r="E11" t="inlineStr">
        <is>
          <t>Female</t>
        </is>
      </c>
      <c r="F11" t="inlineStr">
        <is>
          <t>Cultural Program</t>
        </is>
      </c>
    </row>
    <row r="12">
      <c r="A12" t="n">
        <v>1011</v>
      </c>
      <c r="B12" t="inlineStr">
        <is>
          <t>Kiran</t>
        </is>
      </c>
      <c r="C12" t="inlineStr">
        <is>
          <t>Excel</t>
        </is>
      </c>
      <c r="D12" t="n">
        <v>24</v>
      </c>
      <c r="E12" t="inlineStr">
        <is>
          <t>Male</t>
        </is>
      </c>
      <c r="F12" t="inlineStr">
        <is>
          <t>Traditional Dress Contest</t>
        </is>
      </c>
    </row>
    <row r="13">
      <c r="A13" t="n">
        <v>1012</v>
      </c>
      <c r="B13" t="inlineStr">
        <is>
          <t>Athira</t>
        </is>
      </c>
      <c r="C13" t="inlineStr">
        <is>
          <t>Data Analytics</t>
        </is>
      </c>
      <c r="D13" t="n">
        <v>27</v>
      </c>
      <c r="E13" t="inlineStr">
        <is>
          <t>Female</t>
        </is>
      </c>
      <c r="F13" t="inlineStr">
        <is>
          <t>Best Pookalam Contest</t>
        </is>
      </c>
    </row>
    <row r="14">
      <c r="A14" t="n">
        <v>1013</v>
      </c>
      <c r="B14" t="inlineStr">
        <is>
          <t>Sreejith</t>
        </is>
      </c>
      <c r="C14" t="inlineStr">
        <is>
          <t>Power BI</t>
        </is>
      </c>
      <c r="D14" t="n">
        <v>32</v>
      </c>
      <c r="E14" t="inlineStr">
        <is>
          <t>Male</t>
        </is>
      </c>
      <c r="F14" t="inlineStr">
        <is>
          <t>Thiruvonam Celebration</t>
        </is>
      </c>
    </row>
    <row r="15">
      <c r="A15" t="n">
        <v>1014</v>
      </c>
      <c r="B15" t="inlineStr">
        <is>
          <t>Lakshmi</t>
        </is>
      </c>
      <c r="C15" t="inlineStr">
        <is>
          <t>SQL</t>
        </is>
      </c>
      <c r="D15" t="n">
        <v>25</v>
      </c>
      <c r="E15" t="inlineStr">
        <is>
          <t>Female</t>
        </is>
      </c>
      <c r="F15" t="inlineStr">
        <is>
          <t>Sadya</t>
        </is>
      </c>
    </row>
    <row r="16">
      <c r="A16" t="n">
        <v>1015</v>
      </c>
      <c r="B16" t="inlineStr">
        <is>
          <t>Manu</t>
        </is>
      </c>
      <c r="C16" t="inlineStr">
        <is>
          <t>Python</t>
        </is>
      </c>
      <c r="D16" t="n">
        <v>29</v>
      </c>
      <c r="E16" t="inlineStr">
        <is>
          <t>Male</t>
        </is>
      </c>
      <c r="F16" t="inlineStr">
        <is>
          <t>Music Program</t>
        </is>
      </c>
    </row>
  </sheetData>
  <autoFilter ref="A1:F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3" t="inlineStr">
        <is>
          <t>Location</t>
        </is>
      </c>
      <c r="B1" s="3" t="inlineStr">
        <is>
          <t>NumberOfActivities</t>
        </is>
      </c>
    </row>
    <row r="2">
      <c r="A2" t="inlineStr">
        <is>
          <t>Main Hall</t>
        </is>
      </c>
      <c r="B2" t="n">
        <v>4</v>
      </c>
    </row>
    <row r="3">
      <c r="A3" t="inlineStr">
        <is>
          <t>Auditorium</t>
        </is>
      </c>
      <c r="B3" t="n">
        <v>2</v>
      </c>
    </row>
    <row r="4">
      <c r="A4" t="inlineStr">
        <is>
          <t>Ground</t>
        </is>
      </c>
      <c r="B4" t="n">
        <v>2</v>
      </c>
    </row>
    <row r="5">
      <c r="A5" t="inlineStr">
        <is>
          <t>Dining Hall</t>
        </is>
      </c>
      <c r="B5" t="n">
        <v>1</v>
      </c>
    </row>
    <row r="6">
      <c r="A6" t="inlineStr">
        <is>
          <t>Open Stage</t>
        </is>
      </c>
      <c r="B6" t="n">
        <v>1</v>
      </c>
    </row>
    <row r="7">
      <c r="A7" t="inlineStr">
        <is>
          <t>Classroom Block</t>
        </is>
      </c>
      <c r="B7" t="n">
        <v>1</v>
      </c>
    </row>
    <row r="8">
      <c r="A8" t="inlineStr">
        <is>
          <t>Other Venues</t>
        </is>
      </c>
      <c r="B8" t="n">
        <v>1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DayName</t>
        </is>
      </c>
      <c r="D1" s="3" t="inlineStr">
        <is>
          <t>Week</t>
        </is>
      </c>
      <c r="E1" s="3" t="inlineStr">
        <is>
          <t>Month</t>
        </is>
      </c>
      <c r="F1" s="3" t="inlineStr">
        <is>
          <t>MonthNumber</t>
        </is>
      </c>
      <c r="G1" s="3" t="inlineStr">
        <is>
          <t>IsOnamWeek</t>
        </is>
      </c>
    </row>
    <row r="2">
      <c r="A2" s="7" t="n">
        <v>46235</v>
      </c>
      <c r="B2" t="n">
        <v>1</v>
      </c>
      <c r="C2" t="inlineStr">
        <is>
          <t>Saturday</t>
        </is>
      </c>
      <c r="D2" t="n">
        <v>31</v>
      </c>
      <c r="E2" t="inlineStr">
        <is>
          <t>August</t>
        </is>
      </c>
      <c r="F2" t="n">
        <v>8</v>
      </c>
      <c r="G2" t="b">
        <v>0</v>
      </c>
    </row>
    <row r="3">
      <c r="A3" s="7" t="n">
        <v>46236</v>
      </c>
      <c r="B3" t="n">
        <v>2</v>
      </c>
      <c r="C3" t="inlineStr">
        <is>
          <t>Sunday</t>
        </is>
      </c>
      <c r="D3" t="n">
        <v>31</v>
      </c>
      <c r="E3" t="inlineStr">
        <is>
          <t>August</t>
        </is>
      </c>
      <c r="F3" t="n">
        <v>8</v>
      </c>
      <c r="G3" t="b">
        <v>0</v>
      </c>
    </row>
    <row r="4">
      <c r="A4" s="7" t="n">
        <v>46237</v>
      </c>
      <c r="B4" t="n">
        <v>3</v>
      </c>
      <c r="C4" t="inlineStr">
        <is>
          <t>Monday</t>
        </is>
      </c>
      <c r="D4" t="n">
        <v>32</v>
      </c>
      <c r="E4" t="inlineStr">
        <is>
          <t>August</t>
        </is>
      </c>
      <c r="F4" t="n">
        <v>8</v>
      </c>
      <c r="G4" t="b">
        <v>0</v>
      </c>
    </row>
    <row r="5">
      <c r="A5" s="7" t="n">
        <v>46238</v>
      </c>
      <c r="B5" t="n">
        <v>4</v>
      </c>
      <c r="C5" t="inlineStr">
        <is>
          <t>Tuesday</t>
        </is>
      </c>
      <c r="D5" t="n">
        <v>32</v>
      </c>
      <c r="E5" t="inlineStr">
        <is>
          <t>August</t>
        </is>
      </c>
      <c r="F5" t="n">
        <v>8</v>
      </c>
      <c r="G5" t="b">
        <v>0</v>
      </c>
    </row>
    <row r="6">
      <c r="A6" s="7" t="n">
        <v>46239</v>
      </c>
      <c r="B6" t="n">
        <v>5</v>
      </c>
      <c r="C6" t="inlineStr">
        <is>
          <t>Wednesday</t>
        </is>
      </c>
      <c r="D6" t="n">
        <v>32</v>
      </c>
      <c r="E6" t="inlineStr">
        <is>
          <t>August</t>
        </is>
      </c>
      <c r="F6" t="n">
        <v>8</v>
      </c>
      <c r="G6" t="b">
        <v>0</v>
      </c>
    </row>
    <row r="7">
      <c r="A7" s="7" t="n">
        <v>46240</v>
      </c>
      <c r="B7" t="n">
        <v>6</v>
      </c>
      <c r="C7" t="inlineStr">
        <is>
          <t>Thursday</t>
        </is>
      </c>
      <c r="D7" t="n">
        <v>32</v>
      </c>
      <c r="E7" t="inlineStr">
        <is>
          <t>August</t>
        </is>
      </c>
      <c r="F7" t="n">
        <v>8</v>
      </c>
      <c r="G7" t="b">
        <v>0</v>
      </c>
    </row>
    <row r="8">
      <c r="A8" s="7" t="n">
        <v>46241</v>
      </c>
      <c r="B8" t="n">
        <v>7</v>
      </c>
      <c r="C8" t="inlineStr">
        <is>
          <t>Friday</t>
        </is>
      </c>
      <c r="D8" t="n">
        <v>32</v>
      </c>
      <c r="E8" t="inlineStr">
        <is>
          <t>August</t>
        </is>
      </c>
      <c r="F8" t="n">
        <v>8</v>
      </c>
      <c r="G8" t="b">
        <v>0</v>
      </c>
    </row>
    <row r="9">
      <c r="A9" s="7" t="n">
        <v>46242</v>
      </c>
      <c r="B9" t="n">
        <v>8</v>
      </c>
      <c r="C9" t="inlineStr">
        <is>
          <t>Saturday</t>
        </is>
      </c>
      <c r="D9" t="n">
        <v>32</v>
      </c>
      <c r="E9" t="inlineStr">
        <is>
          <t>August</t>
        </is>
      </c>
      <c r="F9" t="n">
        <v>8</v>
      </c>
      <c r="G9" t="b">
        <v>0</v>
      </c>
    </row>
    <row r="10">
      <c r="A10" s="7" t="n">
        <v>46243</v>
      </c>
      <c r="B10" t="n">
        <v>9</v>
      </c>
      <c r="C10" t="inlineStr">
        <is>
          <t>Sunday</t>
        </is>
      </c>
      <c r="D10" t="n">
        <v>32</v>
      </c>
      <c r="E10" t="inlineStr">
        <is>
          <t>August</t>
        </is>
      </c>
      <c r="F10" t="n">
        <v>8</v>
      </c>
      <c r="G10" t="b">
        <v>0</v>
      </c>
    </row>
    <row r="11">
      <c r="A11" s="7" t="n">
        <v>46244</v>
      </c>
      <c r="B11" t="n">
        <v>10</v>
      </c>
      <c r="C11" t="inlineStr">
        <is>
          <t>Monday</t>
        </is>
      </c>
      <c r="D11" t="n">
        <v>33</v>
      </c>
      <c r="E11" t="inlineStr">
        <is>
          <t>August</t>
        </is>
      </c>
      <c r="F11" t="n">
        <v>8</v>
      </c>
      <c r="G11" t="b">
        <v>0</v>
      </c>
    </row>
    <row r="12">
      <c r="A12" s="7" t="n">
        <v>46245</v>
      </c>
      <c r="B12" t="n">
        <v>11</v>
      </c>
      <c r="C12" t="inlineStr">
        <is>
          <t>Tuesday</t>
        </is>
      </c>
      <c r="D12" t="n">
        <v>33</v>
      </c>
      <c r="E12" t="inlineStr">
        <is>
          <t>August</t>
        </is>
      </c>
      <c r="F12" t="n">
        <v>8</v>
      </c>
      <c r="G12" t="b">
        <v>0</v>
      </c>
    </row>
    <row r="13">
      <c r="A13" s="7" t="n">
        <v>46246</v>
      </c>
      <c r="B13" t="n">
        <v>12</v>
      </c>
      <c r="C13" t="inlineStr">
        <is>
          <t>Wednesday</t>
        </is>
      </c>
      <c r="D13" t="n">
        <v>33</v>
      </c>
      <c r="E13" t="inlineStr">
        <is>
          <t>August</t>
        </is>
      </c>
      <c r="F13" t="n">
        <v>8</v>
      </c>
      <c r="G13" t="b">
        <v>0</v>
      </c>
    </row>
    <row r="14">
      <c r="A14" s="7" t="n">
        <v>46247</v>
      </c>
      <c r="B14" t="n">
        <v>13</v>
      </c>
      <c r="C14" t="inlineStr">
        <is>
          <t>Thursday</t>
        </is>
      </c>
      <c r="D14" t="n">
        <v>33</v>
      </c>
      <c r="E14" t="inlineStr">
        <is>
          <t>August</t>
        </is>
      </c>
      <c r="F14" t="n">
        <v>8</v>
      </c>
      <c r="G14" t="b">
        <v>0</v>
      </c>
    </row>
    <row r="15">
      <c r="A15" s="7" t="n">
        <v>46248</v>
      </c>
      <c r="B15" t="n">
        <v>14</v>
      </c>
      <c r="C15" t="inlineStr">
        <is>
          <t>Friday</t>
        </is>
      </c>
      <c r="D15" t="n">
        <v>33</v>
      </c>
      <c r="E15" t="inlineStr">
        <is>
          <t>August</t>
        </is>
      </c>
      <c r="F15" t="n">
        <v>8</v>
      </c>
      <c r="G15" t="b">
        <v>0</v>
      </c>
    </row>
    <row r="16">
      <c r="A16" s="7" t="n">
        <v>46249</v>
      </c>
      <c r="B16" t="n">
        <v>15</v>
      </c>
      <c r="C16" t="inlineStr">
        <is>
          <t>Saturday</t>
        </is>
      </c>
      <c r="D16" t="n">
        <v>33</v>
      </c>
      <c r="E16" t="inlineStr">
        <is>
          <t>August</t>
        </is>
      </c>
      <c r="F16" t="n">
        <v>8</v>
      </c>
      <c r="G16" t="b">
        <v>0</v>
      </c>
    </row>
    <row r="17">
      <c r="A17" s="7" t="n">
        <v>46250</v>
      </c>
      <c r="B17" t="n">
        <v>16</v>
      </c>
      <c r="C17" t="inlineStr">
        <is>
          <t>Sunday</t>
        </is>
      </c>
      <c r="D17" t="n">
        <v>33</v>
      </c>
      <c r="E17" t="inlineStr">
        <is>
          <t>August</t>
        </is>
      </c>
      <c r="F17" t="n">
        <v>8</v>
      </c>
      <c r="G17" t="b">
        <v>0</v>
      </c>
    </row>
    <row r="18">
      <c r="A18" s="7" t="n">
        <v>46251</v>
      </c>
      <c r="B18" t="n">
        <v>17</v>
      </c>
      <c r="C18" t="inlineStr">
        <is>
          <t>Monday</t>
        </is>
      </c>
      <c r="D18" t="n">
        <v>34</v>
      </c>
      <c r="E18" t="inlineStr">
        <is>
          <t>August</t>
        </is>
      </c>
      <c r="F18" t="n">
        <v>8</v>
      </c>
      <c r="G18" t="b">
        <v>1</v>
      </c>
    </row>
    <row r="19">
      <c r="A19" s="7" t="n">
        <v>46252</v>
      </c>
      <c r="B19" t="n">
        <v>18</v>
      </c>
      <c r="C19" t="inlineStr">
        <is>
          <t>Tuesday</t>
        </is>
      </c>
      <c r="D19" t="n">
        <v>34</v>
      </c>
      <c r="E19" t="inlineStr">
        <is>
          <t>August</t>
        </is>
      </c>
      <c r="F19" t="n">
        <v>8</v>
      </c>
      <c r="G19" t="b">
        <v>1</v>
      </c>
    </row>
    <row r="20">
      <c r="A20" s="7" t="n">
        <v>46253</v>
      </c>
      <c r="B20" t="n">
        <v>19</v>
      </c>
      <c r="C20" t="inlineStr">
        <is>
          <t>Wednesday</t>
        </is>
      </c>
      <c r="D20" t="n">
        <v>34</v>
      </c>
      <c r="E20" t="inlineStr">
        <is>
          <t>August</t>
        </is>
      </c>
      <c r="F20" t="n">
        <v>8</v>
      </c>
      <c r="G20" t="b">
        <v>1</v>
      </c>
    </row>
    <row r="21">
      <c r="A21" s="7" t="n">
        <v>46254</v>
      </c>
      <c r="B21" t="n">
        <v>20</v>
      </c>
      <c r="C21" t="inlineStr">
        <is>
          <t>Thursday</t>
        </is>
      </c>
      <c r="D21" t="n">
        <v>34</v>
      </c>
      <c r="E21" t="inlineStr">
        <is>
          <t>August</t>
        </is>
      </c>
      <c r="F21" t="n">
        <v>8</v>
      </c>
      <c r="G21" t="b">
        <v>1</v>
      </c>
    </row>
    <row r="22">
      <c r="A22" s="7" t="n">
        <v>46255</v>
      </c>
      <c r="B22" t="n">
        <v>21</v>
      </c>
      <c r="C22" t="inlineStr">
        <is>
          <t>Friday</t>
        </is>
      </c>
      <c r="D22" t="n">
        <v>34</v>
      </c>
      <c r="E22" t="inlineStr">
        <is>
          <t>August</t>
        </is>
      </c>
      <c r="F22" t="n">
        <v>8</v>
      </c>
      <c r="G22" t="b">
        <v>1</v>
      </c>
    </row>
    <row r="23">
      <c r="A23" s="7" t="n">
        <v>46256</v>
      </c>
      <c r="B23" t="n">
        <v>22</v>
      </c>
      <c r="C23" t="inlineStr">
        <is>
          <t>Saturday</t>
        </is>
      </c>
      <c r="D23" t="n">
        <v>34</v>
      </c>
      <c r="E23" t="inlineStr">
        <is>
          <t>August</t>
        </is>
      </c>
      <c r="F23" t="n">
        <v>8</v>
      </c>
      <c r="G23" t="b">
        <v>1</v>
      </c>
    </row>
    <row r="24">
      <c r="A24" s="7" t="n">
        <v>46257</v>
      </c>
      <c r="B24" t="n">
        <v>23</v>
      </c>
      <c r="C24" t="inlineStr">
        <is>
          <t>Sunday</t>
        </is>
      </c>
      <c r="D24" t="n">
        <v>34</v>
      </c>
      <c r="E24" t="inlineStr">
        <is>
          <t>August</t>
        </is>
      </c>
      <c r="F24" t="n">
        <v>8</v>
      </c>
      <c r="G24" t="b">
        <v>1</v>
      </c>
    </row>
    <row r="25">
      <c r="A25" s="7" t="n">
        <v>46258</v>
      </c>
      <c r="B25" t="n">
        <v>24</v>
      </c>
      <c r="C25" t="inlineStr">
        <is>
          <t>Monday</t>
        </is>
      </c>
      <c r="D25" t="n">
        <v>35</v>
      </c>
      <c r="E25" t="inlineStr">
        <is>
          <t>August</t>
        </is>
      </c>
      <c r="F25" t="n">
        <v>8</v>
      </c>
      <c r="G25" t="b">
        <v>1</v>
      </c>
    </row>
    <row r="26">
      <c r="A26" s="7" t="n">
        <v>46259</v>
      </c>
      <c r="B26" t="n">
        <v>25</v>
      </c>
      <c r="C26" t="inlineStr">
        <is>
          <t>Tuesday</t>
        </is>
      </c>
      <c r="D26" t="n">
        <v>35</v>
      </c>
      <c r="E26" t="inlineStr">
        <is>
          <t>August</t>
        </is>
      </c>
      <c r="F26" t="n">
        <v>8</v>
      </c>
      <c r="G26" t="b">
        <v>1</v>
      </c>
    </row>
    <row r="27">
      <c r="A27" s="7" t="n">
        <v>46260</v>
      </c>
      <c r="B27" t="n">
        <v>26</v>
      </c>
      <c r="C27" t="inlineStr">
        <is>
          <t>Wednesday</t>
        </is>
      </c>
      <c r="D27" t="n">
        <v>35</v>
      </c>
      <c r="E27" t="inlineStr">
        <is>
          <t>August</t>
        </is>
      </c>
      <c r="F27" t="n">
        <v>8</v>
      </c>
      <c r="G27" t="b">
        <v>1</v>
      </c>
    </row>
    <row r="28">
      <c r="A28" s="7" t="n">
        <v>46261</v>
      </c>
      <c r="B28" t="n">
        <v>27</v>
      </c>
      <c r="C28" t="inlineStr">
        <is>
          <t>Thursday</t>
        </is>
      </c>
      <c r="D28" t="n">
        <v>35</v>
      </c>
      <c r="E28" t="inlineStr">
        <is>
          <t>August</t>
        </is>
      </c>
      <c r="F28" t="n">
        <v>8</v>
      </c>
      <c r="G28" t="b">
        <v>0</v>
      </c>
    </row>
    <row r="29">
      <c r="A29" s="7" t="n">
        <v>46262</v>
      </c>
      <c r="B29" t="n">
        <v>28</v>
      </c>
      <c r="C29" t="inlineStr">
        <is>
          <t>Friday</t>
        </is>
      </c>
      <c r="D29" t="n">
        <v>35</v>
      </c>
      <c r="E29" t="inlineStr">
        <is>
          <t>August</t>
        </is>
      </c>
      <c r="F29" t="n">
        <v>8</v>
      </c>
      <c r="G29" t="b">
        <v>0</v>
      </c>
    </row>
    <row r="30">
      <c r="A30" s="7" t="n">
        <v>46263</v>
      </c>
      <c r="B30" t="n">
        <v>29</v>
      </c>
      <c r="C30" t="inlineStr">
        <is>
          <t>Saturday</t>
        </is>
      </c>
      <c r="D30" t="n">
        <v>35</v>
      </c>
      <c r="E30" t="inlineStr">
        <is>
          <t>August</t>
        </is>
      </c>
      <c r="F30" t="n">
        <v>8</v>
      </c>
      <c r="G30" t="b">
        <v>0</v>
      </c>
    </row>
    <row r="31">
      <c r="A31" s="7" t="n">
        <v>46264</v>
      </c>
      <c r="B31" t="n">
        <v>30</v>
      </c>
      <c r="C31" t="inlineStr">
        <is>
          <t>Sunday</t>
        </is>
      </c>
      <c r="D31" t="n">
        <v>35</v>
      </c>
      <c r="E31" t="inlineStr">
        <is>
          <t>August</t>
        </is>
      </c>
      <c r="F31" t="n">
        <v>8</v>
      </c>
      <c r="G31" t="b">
        <v>0</v>
      </c>
    </row>
    <row r="32">
      <c r="A32" s="7" t="n">
        <v>46265</v>
      </c>
      <c r="B32" t="n">
        <v>31</v>
      </c>
      <c r="C32" t="inlineStr">
        <is>
          <t>Monday</t>
        </is>
      </c>
      <c r="D32" t="n">
        <v>36</v>
      </c>
      <c r="E32" t="inlineStr">
        <is>
          <t>August</t>
        </is>
      </c>
      <c r="F32" t="n">
        <v>8</v>
      </c>
      <c r="G32" t="b">
        <v>0</v>
      </c>
    </row>
  </sheetData>
  <autoFilter ref="A1:G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8" customWidth="1" min="4" max="4"/>
    <col width="18" customWidth="1" min="5" max="5"/>
    <col width="20" customWidth="1" min="6" max="6"/>
  </cols>
  <sheetData>
    <row r="1">
      <c r="A1" s="3" t="inlineStr">
        <is>
          <t>Category</t>
        </is>
      </c>
      <c r="B1" s="3" t="inlineStr">
        <is>
          <t>Estimated Budget</t>
        </is>
      </c>
      <c r="C1" s="3" t="inlineStr">
        <is>
          <t>Actual Spent</t>
        </is>
      </c>
      <c r="D1" s="3" t="inlineStr">
        <is>
          <t>Variance</t>
        </is>
      </c>
      <c r="E1" s="3" t="inlineStr">
        <is>
          <t>Utilization %</t>
        </is>
      </c>
      <c r="F1" s="3" t="inlineStr">
        <is>
          <t>Budget Status</t>
        </is>
      </c>
    </row>
    <row r="2">
      <c r="A2" t="inlineStr">
        <is>
          <t>Cultural</t>
        </is>
      </c>
      <c r="B2" s="8">
        <f>SUMIF(Activities!C:C,A2,Activities!G:G)</f>
        <v/>
      </c>
      <c r="C2" s="8">
        <f>SUMIF(Activities!C:C,A2,Activities!I:I)</f>
        <v/>
      </c>
      <c r="D2" s="8">
        <f>B2-C2</f>
        <v/>
      </c>
      <c r="E2" s="9">
        <f>IFERROR(C2/B2,0)</f>
        <v/>
      </c>
      <c r="F2">
        <f>IF(C2=0,"Not Spent",IF(C2&gt;B2,"Over Budget",IF(C2/B2&gt;=0.8,"Near Budget","Within Budget")))</f>
        <v/>
      </c>
    </row>
    <row r="3">
      <c r="A3" t="inlineStr">
        <is>
          <t>Decoration</t>
        </is>
      </c>
      <c r="B3" s="8">
        <f>SUMIF(Activities!C:C,A3,Activities!G:G)</f>
        <v/>
      </c>
      <c r="C3" s="8">
        <f>SUMIF(Activities!C:C,A3,Activities!I:I)</f>
        <v/>
      </c>
      <c r="D3" s="8">
        <f>B3-C3</f>
        <v/>
      </c>
      <c r="E3" s="9">
        <f>IFERROR(C3/B3,0)</f>
        <v/>
      </c>
      <c r="F3">
        <f>IF(C3=0,"Not Spent",IF(C3&gt;B3,"Over Budget",IF(C3/B3&gt;=0.8,"Near Budget","Within Budget")))</f>
        <v/>
      </c>
    </row>
    <row r="4">
      <c r="A4" t="inlineStr">
        <is>
          <t>Entertainment</t>
        </is>
      </c>
      <c r="B4" s="8">
        <f>SUMIF(Activities!C:C,A4,Activities!G:G)</f>
        <v/>
      </c>
      <c r="C4" s="8">
        <f>SUMIF(Activities!C:C,A4,Activities!I:I)</f>
        <v/>
      </c>
      <c r="D4" s="8">
        <f>B4-C4</f>
        <v/>
      </c>
      <c r="E4" s="9">
        <f>IFERROR(C4/B4,0)</f>
        <v/>
      </c>
      <c r="F4">
        <f>IF(C4=0,"Not Spent",IF(C4&gt;B4,"Over Budget",IF(C4/B4&gt;=0.8,"Near Budget","Within Budget")))</f>
        <v/>
      </c>
    </row>
    <row r="5">
      <c r="A5" t="inlineStr">
        <is>
          <t>Food &amp; Sadya</t>
        </is>
      </c>
      <c r="B5" s="8">
        <f>SUMIF(Activities!C:C,A5,Activities!G:G)</f>
        <v/>
      </c>
      <c r="C5" s="8">
        <f>SUMIF(Activities!C:C,A5,Activities!I:I)</f>
        <v/>
      </c>
      <c r="D5" s="8">
        <f>B5-C5</f>
        <v/>
      </c>
      <c r="E5" s="9">
        <f>IFERROR(C5/B5,0)</f>
        <v/>
      </c>
      <c r="F5">
        <f>IF(C5=0,"Not Spent",IF(C5&gt;B5,"Over Budget",IF(C5/B5&gt;=0.8,"Near Budget","Within Budget")))</f>
        <v/>
      </c>
    </row>
    <row r="6">
      <c r="A6" t="inlineStr">
        <is>
          <t>Games &amp; Sports</t>
        </is>
      </c>
      <c r="B6" s="8">
        <f>SUMIF(Activities!C:C,A6,Activities!G:G)</f>
        <v/>
      </c>
      <c r="C6" s="8">
        <f>SUMIF(Activities!C:C,A6,Activities!I:I)</f>
        <v/>
      </c>
      <c r="D6" s="8">
        <f>B6-C6</f>
        <v/>
      </c>
      <c r="E6" s="9">
        <f>IFERROR(C6/B6,0)</f>
        <v/>
      </c>
      <c r="F6">
        <f>IF(C6=0,"Not Spent",IF(C6&gt;B6,"Over Budget",IF(C6/B6&gt;=0.8,"Near Budget","Within Budget")))</f>
        <v/>
      </c>
    </row>
    <row r="7">
      <c r="A7" t="inlineStr">
        <is>
          <t>Prizes &amp; Gifts</t>
        </is>
      </c>
      <c r="B7" s="8">
        <f>SUMIF(Activities!C:C,A7,Activities!G:G)</f>
        <v/>
      </c>
      <c r="C7" s="8">
        <f>SUMIF(Activities!C:C,A7,Activities!I:I)</f>
        <v/>
      </c>
      <c r="D7" s="8">
        <f>B7-C7</f>
        <v/>
      </c>
      <c r="E7" s="9">
        <f>IFERROR(C7/B7,0)</f>
        <v/>
      </c>
      <c r="F7">
        <f>IF(C7=0,"Not Spent",IF(C7&gt;B7,"Over Budget",IF(C7/B7&gt;=0.8,"Near Budget","Within Budget")))</f>
        <v/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2026-08-12T06:16:14Z</dcterms:created>
  <dcterms:modified xmlns:dcterms="http://purl.org/dc/terms/" xmlns:xsi="http://www.w3.org/2001/XMLSchema-instance" xsi:type="dcterms:W3CDTF">2026-08-12T06:47:37Z</dcterms:modified>
</cp:coreProperties>
</file>